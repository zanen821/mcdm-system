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/Downloads/"/>
    </mc:Choice>
  </mc:AlternateContent>
  <xr:revisionPtr revIDLastSave="0" documentId="8_{FD8D094A-8C2A-194E-9354-BB55415BA65F}" xr6:coauthVersionLast="47" xr6:coauthVersionMax="47" xr10:uidLastSave="{00000000-0000-0000-0000-000000000000}"/>
  <bookViews>
    <workbookView xWindow="2700" yWindow="6940" windowWidth="22040" windowHeight="12440" xr2:uid="{A4FA918B-E8BC-D246-9E2B-3149419D86CB}"/>
  </bookViews>
  <sheets>
    <sheet name="工作表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" i="1" l="1"/>
  <c r="K6" i="1"/>
  <c r="J6" i="1"/>
  <c r="I6" i="1"/>
  <c r="H6" i="1"/>
  <c r="G6" i="1"/>
  <c r="F6" i="1"/>
  <c r="E6" i="1"/>
  <c r="D6" i="1"/>
  <c r="C6" i="1"/>
  <c r="B6" i="1"/>
  <c r="L5" i="1"/>
  <c r="K5" i="1"/>
  <c r="J5" i="1"/>
  <c r="I5" i="1"/>
  <c r="H5" i="1"/>
  <c r="G5" i="1"/>
  <c r="F5" i="1"/>
  <c r="E5" i="1"/>
  <c r="D5" i="1"/>
  <c r="C5" i="1"/>
  <c r="B5" i="1"/>
  <c r="L4" i="1"/>
  <c r="K4" i="1"/>
  <c r="J4" i="1"/>
  <c r="I4" i="1"/>
  <c r="H4" i="1"/>
  <c r="G4" i="1"/>
  <c r="F4" i="1"/>
  <c r="E4" i="1"/>
  <c r="D4" i="1"/>
  <c r="C4" i="1"/>
  <c r="B4" i="1"/>
  <c r="L3" i="1"/>
  <c r="K3" i="1"/>
  <c r="J3" i="1"/>
  <c r="I3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<sst xmlns="http://schemas.openxmlformats.org/spreadsheetml/2006/main" count="17" uniqueCount="17">
  <si>
    <t>初始</t>
    <phoneticPr fontId="3" type="noConversion"/>
  </si>
  <si>
    <t>C1</t>
    <phoneticPr fontId="3" type="noConversion"/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</si>
  <si>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</si>
  <si>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</si>
  <si>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</si>
  <si>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</si>
  <si>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</si>
  <si>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</si>
  <si>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</si>
  <si>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</si>
  <si>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</si>
  <si>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</si>
  <si>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A1</t>
    <phoneticPr fontId="3" type="noConversion"/>
  </si>
  <si>
    <t>A2</t>
    <phoneticPr fontId="3" type="noConversion"/>
  </si>
  <si>
    <t>A3</t>
    <phoneticPr fontId="3" type="noConversion"/>
  </si>
  <si>
    <t>A4</t>
    <phoneticPr fontId="3" type="noConversion"/>
  </si>
  <si>
    <t>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</si>
</sst>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Microsoft JhengHei"/>
      <family val="1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76" fontId="2" fillId="2" borderId="1" xfId="0" applyNumberFormat="1" applyFont="1" applyFill="1" applyBorder="1" applyAlignment="1">
      <alignment horizontal="center"/>
    </xf>
    <xf numFmtId="176" fontId="4" fillId="2" borderId="1" xfId="0" applyNumberFormat="1" applyFont="1" applyFill="1" applyBorder="1" applyAlignment="1">
      <alignment horizontal="center"/>
    </xf>
    <xf numFmtId="176" fontId="5" fillId="2" borderId="1" xfId="0" applyNumberFormat="1" applyFont="1" applyFill="1" applyBorder="1" applyAlignment="1">
      <alignment horizontal="center"/>
    </xf>
    <xf numFmtId="176" fontId="2" fillId="2" borderId="2" xfId="0" applyNumberFormat="1" applyFont="1" applyFill="1" applyBorder="1" applyAlignment="1">
      <alignment horizontal="center"/>
    </xf>
    <xf numFmtId="176" fontId="4" fillId="2" borderId="2" xfId="0" applyNumberFormat="1" applyFont="1" applyFill="1" applyBorder="1" applyAlignment="1">
      <alignment horizontal="center"/>
    </xf>
    <xf numFmtId="176" fontId="4" fillId="0" borderId="2" xfId="0" applyNumberFormat="1" applyFont="1" applyBorder="1" applyAlignment="1"/>
    <xf numFmtId="176" fontId="4" fillId="2" borderId="0" xfId="0" applyNumberFormat="1" applyFont="1" applyFill="1" applyAlignment="1">
      <alignment horizontal="center"/>
    </xf>
    <xf numFmtId="176" fontId="4" fillId="0" borderId="0" xfId="0" applyNumberFormat="1" applyFont="1" applyAlignment="1"/>
    <xf numFmtId="176" fontId="4" fillId="2" borderId="3" xfId="0" applyNumberFormat="1" applyFont="1" applyFill="1" applyBorder="1" applyAlignment="1">
      <alignment horizontal="center"/>
    </xf>
    <xf numFmtId="176" fontId="4" fillId="0" borderId="3" xfId="0" applyNumberFormat="1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/Downloads/Entropy&#65343;data.xlsx" TargetMode="External"/><Relationship Id="rId1" Type="http://schemas.openxmlformats.org/officeDocument/2006/relationships/externalLinkPath" Target="Entropy&#65343;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案例"/>
      <sheetName val="Data"/>
      <sheetName val="Entropy_上課"/>
      <sheetName val="Entropy_練習"/>
      <sheetName val="CRITIC_上課"/>
      <sheetName val="ITARA_上課"/>
      <sheetName val="Modified ITARA I_上課"/>
      <sheetName val="Modified ITARA II_上課"/>
      <sheetName val="方法比較"/>
    </sheetNames>
    <sheetDataSet>
      <sheetData sheetId="0" refreshError="1"/>
      <sheetData sheetId="1">
        <row r="2">
          <cell r="B2">
            <v>7400000</v>
          </cell>
          <cell r="C2">
            <v>98.4</v>
          </cell>
          <cell r="D2">
            <v>73.099999999999994</v>
          </cell>
          <cell r="E2">
            <v>50800</v>
          </cell>
          <cell r="F2">
            <v>4.0999999999999996</v>
          </cell>
          <cell r="G2">
            <v>90.1</v>
          </cell>
          <cell r="H2">
            <v>2.4</v>
          </cell>
          <cell r="I2">
            <v>20.399999999999999</v>
          </cell>
          <cell r="J2">
            <v>393</v>
          </cell>
          <cell r="K2">
            <v>10.6</v>
          </cell>
          <cell r="L2">
            <v>3.5</v>
          </cell>
        </row>
        <row r="3">
          <cell r="B3">
            <v>33500000</v>
          </cell>
          <cell r="C3">
            <v>78.2</v>
          </cell>
          <cell r="D3">
            <v>66.5</v>
          </cell>
          <cell r="E3">
            <v>144600</v>
          </cell>
          <cell r="F3">
            <v>4.0999999999999996</v>
          </cell>
          <cell r="G3">
            <v>84</v>
          </cell>
          <cell r="H3">
            <v>6.4</v>
          </cell>
          <cell r="I3">
            <v>10.1</v>
          </cell>
          <cell r="J3">
            <v>347</v>
          </cell>
          <cell r="K3">
            <v>8</v>
          </cell>
          <cell r="L3">
            <v>1.83</v>
          </cell>
        </row>
        <row r="4">
          <cell r="B4">
            <v>10850000</v>
          </cell>
          <cell r="C4">
            <v>96</v>
          </cell>
          <cell r="D4">
            <v>61.4</v>
          </cell>
          <cell r="E4">
            <v>255000</v>
          </cell>
          <cell r="F4">
            <v>4</v>
          </cell>
          <cell r="G4">
            <v>75.599999999999994</v>
          </cell>
          <cell r="H4">
            <v>1.1000000000000001</v>
          </cell>
          <cell r="I4">
            <v>10.4</v>
          </cell>
          <cell r="J4">
            <v>275</v>
          </cell>
          <cell r="K4">
            <v>6.3</v>
          </cell>
          <cell r="L4">
            <v>7.52</v>
          </cell>
        </row>
        <row r="5">
          <cell r="B5">
            <v>29200</v>
          </cell>
          <cell r="C5">
            <v>86.6</v>
          </cell>
          <cell r="D5">
            <v>82.3</v>
          </cell>
          <cell r="E5">
            <v>657000</v>
          </cell>
          <cell r="F5">
            <v>5.6</v>
          </cell>
          <cell r="G5">
            <v>89.3</v>
          </cell>
          <cell r="H5">
            <v>4.5999999999999996</v>
          </cell>
          <cell r="I5">
            <v>21.5</v>
          </cell>
          <cell r="J5">
            <v>150</v>
          </cell>
          <cell r="K5">
            <v>12.9</v>
          </cell>
          <cell r="L5">
            <v>3.99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48C76-E99A-A448-B659-2D0023FBEECC}">
  <dimension ref="A1:L6"/>
  <sheetViews>
    <sheetView tabSelected="1" workbookViewId="0">
      <selection activeCell="H8" sqref="H8"/>
    </sheetView>
  </sheetViews>
  <sheetFormatPr baseColWidth="10" defaultRowHeight="15"/>
  <cols>
    <col min="2" max="2" width="13.1640625" customWidth="1"/>
  </cols>
  <sheetData>
    <row r="1" spans="1:12" ht="1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7">
      <c r="A2" s="4" t="s">
        <v>16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1</v>
      </c>
      <c r="I2" s="5">
        <v>0</v>
      </c>
      <c r="J2" s="5">
        <v>0</v>
      </c>
      <c r="K2" s="5">
        <v>0</v>
      </c>
      <c r="L2" s="5">
        <v>0</v>
      </c>
    </row>
    <row r="3" spans="1:12">
      <c r="A3" s="5" t="s">
        <v>12</v>
      </c>
      <c r="B3" s="6">
        <f>[1]Data!B2</f>
        <v>7400000</v>
      </c>
      <c r="C3" s="6">
        <f>[1]Data!C2</f>
        <v>98.4</v>
      </c>
      <c r="D3" s="6">
        <f>[1]Data!D2</f>
        <v>73.099999999999994</v>
      </c>
      <c r="E3" s="6">
        <f>[1]Data!E2</f>
        <v>50800</v>
      </c>
      <c r="F3" s="6">
        <f>[1]Data!F2</f>
        <v>4.0999999999999996</v>
      </c>
      <c r="G3" s="6">
        <f>[1]Data!G2</f>
        <v>90.1</v>
      </c>
      <c r="H3" s="6">
        <f>[1]Data!H2</f>
        <v>2.4</v>
      </c>
      <c r="I3" s="6">
        <f>[1]Data!I2</f>
        <v>20.399999999999999</v>
      </c>
      <c r="J3" s="6">
        <f>[1]Data!J2</f>
        <v>393</v>
      </c>
      <c r="K3" s="6">
        <f>[1]Data!K2</f>
        <v>10.6</v>
      </c>
      <c r="L3" s="6">
        <f>[1]Data!L2</f>
        <v>3.5</v>
      </c>
    </row>
    <row r="4" spans="1:12">
      <c r="A4" s="7" t="s">
        <v>13</v>
      </c>
      <c r="B4" s="8">
        <f>[1]Data!B3</f>
        <v>33500000</v>
      </c>
      <c r="C4" s="8">
        <f>[1]Data!C3</f>
        <v>78.2</v>
      </c>
      <c r="D4" s="8">
        <f>[1]Data!D3</f>
        <v>66.5</v>
      </c>
      <c r="E4" s="8">
        <f>[1]Data!E3</f>
        <v>144600</v>
      </c>
      <c r="F4" s="8">
        <f>[1]Data!F3</f>
        <v>4.0999999999999996</v>
      </c>
      <c r="G4" s="8">
        <f>[1]Data!G3</f>
        <v>84</v>
      </c>
      <c r="H4" s="8">
        <f>[1]Data!H3</f>
        <v>6.4</v>
      </c>
      <c r="I4" s="8">
        <f>[1]Data!I3</f>
        <v>10.1</v>
      </c>
      <c r="J4" s="8">
        <f>[1]Data!J3</f>
        <v>347</v>
      </c>
      <c r="K4" s="8">
        <f>[1]Data!K3</f>
        <v>8</v>
      </c>
      <c r="L4" s="8">
        <f>[1]Data!L3</f>
        <v>1.83</v>
      </c>
    </row>
    <row r="5" spans="1:12">
      <c r="A5" s="7" t="s">
        <v>14</v>
      </c>
      <c r="B5" s="8">
        <f>[1]Data!B4</f>
        <v>10850000</v>
      </c>
      <c r="C5" s="8">
        <f>[1]Data!C4</f>
        <v>96</v>
      </c>
      <c r="D5" s="8">
        <f>[1]Data!D4</f>
        <v>61.4</v>
      </c>
      <c r="E5" s="8">
        <f>[1]Data!E4</f>
        <v>255000</v>
      </c>
      <c r="F5" s="8">
        <f>[1]Data!F4</f>
        <v>4</v>
      </c>
      <c r="G5" s="8">
        <f>[1]Data!G4</f>
        <v>75.599999999999994</v>
      </c>
      <c r="H5" s="8">
        <f>[1]Data!H4</f>
        <v>1.1000000000000001</v>
      </c>
      <c r="I5" s="8">
        <f>[1]Data!I4</f>
        <v>10.4</v>
      </c>
      <c r="J5" s="8">
        <f>[1]Data!J4</f>
        <v>275</v>
      </c>
      <c r="K5" s="8">
        <f>[1]Data!K4</f>
        <v>6.3</v>
      </c>
      <c r="L5" s="8">
        <f>[1]Data!L4</f>
        <v>7.52</v>
      </c>
    </row>
    <row r="6" spans="1:12">
      <c r="A6" s="9" t="s">
        <v>15</v>
      </c>
      <c r="B6" s="10">
        <f>[1]Data!B5</f>
        <v>29200</v>
      </c>
      <c r="C6" s="10">
        <f>[1]Data!C5</f>
        <v>86.6</v>
      </c>
      <c r="D6" s="10">
        <f>[1]Data!D5</f>
        <v>82.3</v>
      </c>
      <c r="E6" s="10">
        <f>[1]Data!E5</f>
        <v>657000</v>
      </c>
      <c r="F6" s="10">
        <f>[1]Data!F5</f>
        <v>5.6</v>
      </c>
      <c r="G6" s="10">
        <f>[1]Data!G5</f>
        <v>89.3</v>
      </c>
      <c r="H6" s="10">
        <f>[1]Data!H5</f>
        <v>4.5999999999999996</v>
      </c>
      <c r="I6" s="10">
        <f>[1]Data!I5</f>
        <v>21.5</v>
      </c>
      <c r="J6" s="10">
        <f>[1]Data!J5</f>
        <v>150</v>
      </c>
      <c r="K6" s="10">
        <f>[1]Data!K5</f>
        <v>12.9</v>
      </c>
      <c r="L6" s="10">
        <f>[1]Data!L5</f>
        <v>3.99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陳贊恩</dc:creator>
  <cp:lastModifiedBy>陳贊恩</cp:lastModifiedBy>
  <dcterms:created xsi:type="dcterms:W3CDTF">2026-07-04T15:22:27Z</dcterms:created>
  <dcterms:modified xsi:type="dcterms:W3CDTF">2026-07-16T05:50:03Z</dcterms:modified>
</cp:coreProperties>
</file>