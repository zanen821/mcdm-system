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/Desktop/專題/轉程式/"/>
    </mc:Choice>
  </mc:AlternateContent>
  <xr:revisionPtr revIDLastSave="0" documentId="13_ncr:1_{298A1B1D-0B30-224F-B67B-E5AFFE185F5C}" xr6:coauthVersionLast="47" xr6:coauthVersionMax="47" xr10:uidLastSave="{00000000-0000-0000-0000-000000000000}"/>
  <bookViews>
    <workbookView xWindow="0" yWindow="680" windowWidth="34200" windowHeight="19940" xr2:uid="{A615820D-6EB3-3B4E-BEC3-BE0205BDD486}"/>
  </bookViews>
  <sheets>
    <sheet name="工作表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" i="1" l="1"/>
  <c r="K1" i="1"/>
  <c r="J1" i="1"/>
  <c r="I1" i="1"/>
  <c r="H1" i="1"/>
  <c r="G1" i="1"/>
  <c r="F1" i="1"/>
  <c r="E1" i="1"/>
  <c r="D1" i="1"/>
  <c r="C1" i="1"/>
  <c r="B1" i="1"/>
</calcChain>
</file>

<file path=xl/sharedStrings.xml><?xml version="1.0" encoding="utf-8"?>
<sst xmlns="http://schemas.openxmlformats.org/spreadsheetml/2006/main" count="5" uniqueCount="5">
  <si>
    <t>type</t>
    <phoneticPr fontId="2" type="noConversion"/>
  </si>
  <si>
    <t>A1</t>
  </si>
  <si>
    <t>A2</t>
  </si>
  <si>
    <t>A3</t>
  </si>
  <si>
    <t>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</si>
</sst>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5">
    <font>
      <sz val="12"/>
      <color theme="1"/>
      <name val="新細明體"/>
      <family val="2"/>
      <charset val="136"/>
      <scheme val="minor"/>
    </font>
    <font>
      <sz val="11"/>
      <color theme="1"/>
      <name val="Microsoft JhengHei"/>
      <family val="1"/>
    </font>
    <font>
      <sz val="9"/>
      <name val="新細明體"/>
      <family val="2"/>
      <charset val="136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76" fontId="1" fillId="2" borderId="1" xfId="0" applyNumberFormat="1" applyFont="1" applyFill="1" applyBorder="1" applyAlignment="1">
      <alignment horizontal="center"/>
    </xf>
    <xf numFmtId="176" fontId="3" fillId="2" borderId="1" xfId="0" applyNumberFormat="1" applyFont="1" applyFill="1" applyBorder="1" applyAlignment="1">
      <alignment horizontal="center"/>
    </xf>
    <xf numFmtId="176" fontId="4" fillId="2" borderId="1" xfId="0" applyNumberFormat="1" applyFont="1" applyFill="1" applyBorder="1" applyAlignment="1">
      <alignment horizontal="center"/>
    </xf>
    <xf numFmtId="176" fontId="3" fillId="2" borderId="2" xfId="0" applyNumberFormat="1" applyFont="1" applyFill="1" applyBorder="1" applyAlignment="1">
      <alignment horizontal="center"/>
    </xf>
    <xf numFmtId="176" fontId="3" fillId="0" borderId="3" xfId="0" applyNumberFormat="1" applyFont="1" applyBorder="1" applyAlignment="1"/>
    <xf numFmtId="176" fontId="1" fillId="2" borderId="2" xfId="0" applyNumberFormat="1" applyFont="1" applyFill="1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60704_&#23458;&#35264;&#27402;&#37325;/20260704.xlsx" TargetMode="External"/><Relationship Id="rId2" Type="http://schemas.openxmlformats.org/officeDocument/2006/relationships/externalLinkPath" Target="/Users/n/Desktop/&#23560;&#38988;/20260704_&#23458;&#35264;&#27402;&#37325;/20260704.xlsx" TargetMode="External"/><Relationship Id="rId1" Type="http://schemas.openxmlformats.org/officeDocument/2006/relationships/externalLinkPath" Target="/Users/n/Desktop/&#23560;&#38988;/20260704_&#23458;&#35264;&#27402;&#37325;/202607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工作表1"/>
      <sheetName val="案例"/>
      <sheetName val="Data"/>
      <sheetName val="Entropy_上課"/>
      <sheetName val="Entropy_練習"/>
      <sheetName val="CRITIC_上課"/>
      <sheetName val="ITARA_上課"/>
      <sheetName val="Modified ITARA I_上課"/>
      <sheetName val="Modified ITARA II_上課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7E996-E838-F047-ADBA-34212262495C}">
  <dimension ref="A1:S21"/>
  <sheetViews>
    <sheetView tabSelected="1" workbookViewId="0">
      <selection activeCell="I21" sqref="I21:S21"/>
    </sheetView>
  </sheetViews>
  <sheetFormatPr baseColWidth="10" defaultRowHeight="15"/>
  <cols>
    <col min="2" max="2" width="12.6640625" customWidth="1"/>
    <col min="9" max="9" width="16.33203125" customWidth="1"/>
  </cols>
  <sheetData>
    <row r="1" spans="1:12" ht="17">
      <c r="A1" s="1"/>
      <c r="B1" s="2" t="str">
        <f>[1]工作表1!B1</f>
        <v>C1</v>
      </c>
      <c r="C1" s="2" t="str">
        <f>[1]工作表1!C1</f>
        <v>C2</v>
      </c>
      <c r="D1" s="2" t="str">
        <f>[1]工作表1!D1</f>
        <v>C3</v>
      </c>
      <c r="E1" s="2" t="str">
        <f>[1]工作表1!E1</f>
        <v>C4</v>
      </c>
      <c r="F1" s="2" t="str">
        <f>[1]工作表1!F1</f>
        <v>C5</v>
      </c>
      <c r="G1" s="2" t="str">
        <f>[1]工作表1!G1</f>
        <v>C6</v>
      </c>
      <c r="H1" s="3" t="str">
        <f>[1]工作表1!H1</f>
        <v>C7</v>
      </c>
      <c r="I1" s="2" t="str">
        <f>[1]工作表1!I1</f>
        <v>C8</v>
      </c>
      <c r="J1" s="2" t="str">
        <f>[1]工作表1!J1</f>
        <v>C9</v>
      </c>
      <c r="K1" s="2" t="str">
        <f>[1]工作表1!K1</f>
        <v>C10</v>
      </c>
      <c r="L1" s="2" t="str">
        <f>[1]工作表1!L1</f>
        <v>C11</v>
      </c>
    </row>
    <row r="2" spans="1:12" ht="17">
      <c r="A2" s="6" t="s">
        <v>0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1</v>
      </c>
      <c r="I2" s="4">
        <v>0</v>
      </c>
      <c r="J2" s="4">
        <v>0</v>
      </c>
      <c r="K2" s="4">
        <v>0</v>
      </c>
      <c r="L2" s="4">
        <v>0</v>
      </c>
    </row>
    <row r="3" spans="1:12">
      <c r="A3" t="s">
        <v>1</v>
      </c>
      <c r="B3">
        <v>7400000</v>
      </c>
      <c r="C3">
        <v>98.4</v>
      </c>
      <c r="D3">
        <v>73.099999999999994</v>
      </c>
      <c r="E3">
        <v>50800</v>
      </c>
      <c r="F3">
        <v>4.0999999999999996</v>
      </c>
      <c r="G3">
        <v>90.1</v>
      </c>
      <c r="H3">
        <v>2.4</v>
      </c>
      <c r="I3">
        <v>20.399999999999999</v>
      </c>
      <c r="J3">
        <v>393</v>
      </c>
      <c r="K3">
        <v>10.6</v>
      </c>
      <c r="L3">
        <v>3.5</v>
      </c>
    </row>
    <row r="4" spans="1:12">
      <c r="A4" t="s">
        <v>2</v>
      </c>
      <c r="B4">
        <v>33500000</v>
      </c>
      <c r="C4">
        <v>78.2</v>
      </c>
      <c r="D4">
        <v>66.5</v>
      </c>
      <c r="E4">
        <v>144600</v>
      </c>
      <c r="F4">
        <v>4.0999999999999996</v>
      </c>
      <c r="G4">
        <v>84</v>
      </c>
      <c r="H4">
        <v>6.4</v>
      </c>
      <c r="I4">
        <v>10.1</v>
      </c>
      <c r="J4">
        <v>347</v>
      </c>
      <c r="K4">
        <v>8</v>
      </c>
      <c r="L4">
        <v>1.83</v>
      </c>
    </row>
    <row r="5" spans="1:12">
      <c r="A5" t="s">
        <v>3</v>
      </c>
      <c r="B5">
        <v>10850000</v>
      </c>
      <c r="C5">
        <v>96</v>
      </c>
      <c r="D5">
        <v>61.4</v>
      </c>
      <c r="E5">
        <v>255000</v>
      </c>
      <c r="F5">
        <v>4</v>
      </c>
      <c r="G5">
        <v>75.599999999999994</v>
      </c>
      <c r="H5">
        <v>1.1000000000000001</v>
      </c>
      <c r="I5">
        <v>10.4</v>
      </c>
      <c r="J5">
        <v>275</v>
      </c>
      <c r="K5">
        <v>6.3</v>
      </c>
      <c r="L5">
        <v>7.52</v>
      </c>
    </row>
    <row r="6" spans="1:12">
      <c r="A6" t="s">
        <v>4</v>
      </c>
      <c r="B6">
        <v>29200</v>
      </c>
      <c r="C6">
        <v>86.6</v>
      </c>
      <c r="D6">
        <v>82.3</v>
      </c>
      <c r="E6">
        <v>657000</v>
      </c>
      <c r="F6">
        <v>5.6</v>
      </c>
      <c r="G6">
        <v>89.3</v>
      </c>
      <c r="H6">
        <v>4.5999999999999996</v>
      </c>
      <c r="I6">
        <v>21.5</v>
      </c>
      <c r="J6">
        <v>150</v>
      </c>
      <c r="K6">
        <v>12.9</v>
      </c>
      <c r="L6">
        <v>3.99</v>
      </c>
    </row>
    <row r="21" spans="9:19"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陳贊恩</dc:creator>
  <cp:lastModifiedBy>陳贊恩</cp:lastModifiedBy>
  <dcterms:created xsi:type="dcterms:W3CDTF">2026-07-05T08:02:03Z</dcterms:created>
  <dcterms:modified xsi:type="dcterms:W3CDTF">2026-08-10T16:00:03Z</dcterms:modified>
</cp:coreProperties>
</file>